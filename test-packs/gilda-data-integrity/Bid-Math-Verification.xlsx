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n Figures" sheetId="1" state="visible" r:id="rId1"/>
    <sheet xmlns:r="http://schemas.openxmlformats.org/officeDocument/2006/relationships" name="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1F6B"/>
      </patternFill>
    </fill>
    <fill>
      <patternFill patternType="solid">
        <fgColor rgb="00E7F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2" customWidth="1" min="4" max="4"/>
    <col width="40" customWidth="1" min="5" max="5"/>
  </cols>
  <sheetData>
    <row r="1">
      <c r="A1" s="1" t="inlineStr">
        <is>
          <t>Check</t>
        </is>
      </c>
      <c r="B1" s="1" t="inlineStr">
        <is>
          <t>Sale</t>
        </is>
      </c>
      <c r="C1" s="1" t="inlineStr">
        <is>
          <t>BID %</t>
        </is>
      </c>
      <c r="D1" s="1" t="inlineStr">
        <is>
          <t>Basis</t>
        </is>
      </c>
      <c r="E1" s="1" t="inlineStr">
        <is>
          <t>Expected result</t>
        </is>
      </c>
    </row>
    <row r="2">
      <c r="A2" t="inlineStr">
        <is>
          <t>GD9 total</t>
        </is>
      </c>
      <c r="B2" t="inlineStr">
        <is>
          <t>HVLS-2026-DEMO</t>
        </is>
      </c>
      <c r="C2" t="inlineStr">
        <is>
          <t>55.12345</t>
        </is>
      </c>
      <c r="D2" t="inlineStr">
        <is>
          <t>ULB (per loan)</t>
        </is>
      </c>
      <c r="E2" t="inlineStr">
        <is>
          <t>Pool total = $619,588</t>
        </is>
      </c>
    </row>
    <row r="3">
      <c r="A3" t="inlineStr">
        <is>
          <t>GD9 deposit</t>
        </is>
      </c>
      <c r="B3" t="inlineStr">
        <is>
          <t>HLS-2026-DEMO</t>
        </is>
      </c>
      <c r="C3" t="inlineStr">
        <is>
          <t>72.5</t>
        </is>
      </c>
      <c r="D3" t="inlineStr">
        <is>
          <t>UPB ($40,024,350)</t>
        </is>
      </c>
      <c r="E3" t="inlineStr">
        <is>
          <t>Deposit = $4,002,435 (10% beats floor)</t>
        </is>
      </c>
    </row>
    <row r="4">
      <c r="A4" t="inlineStr">
        <is>
          <t>GD5 floor</t>
        </is>
      </c>
      <c r="B4" t="inlineStr">
        <is>
          <t>small pool</t>
        </is>
      </c>
      <c r="C4" t="inlineStr">
        <is>
          <t>any</t>
        </is>
      </c>
      <c r="D4" t="inlineStr">
        <is>
          <t>small aggregate</t>
        </is>
      </c>
      <c r="E4" t="inlineStr">
        <is>
          <t>Deposit = $100,000 floor</t>
        </is>
      </c>
    </row>
    <row r="5">
      <c r="A5" t="inlineStr">
        <is>
          <t>GD6 code (HVLS)</t>
        </is>
      </c>
      <c r="B5" t="inlineStr">
        <is>
          <t>HVLS-2026-DEMO</t>
        </is>
      </c>
      <c r="C5" t="inlineStr">
        <is>
          <t>-</t>
        </is>
      </c>
      <c r="D5" t="inlineStr">
        <is>
          <t>-</t>
        </is>
      </c>
      <c r="E5" t="inlineStr">
        <is>
          <t>Completion CODE = HVLS26D742</t>
        </is>
      </c>
    </row>
    <row r="6">
      <c r="A6" t="inlineStr">
        <is>
          <t>GD6 code (HLS)</t>
        </is>
      </c>
      <c r="B6" t="inlineStr">
        <is>
          <t>HLS-2026-DEMO</t>
        </is>
      </c>
      <c r="C6" t="inlineStr">
        <is>
          <t>-</t>
        </is>
      </c>
      <c r="D6" t="inlineStr">
        <is>
          <t>-</t>
        </is>
      </c>
      <c r="E6" t="inlineStr">
        <is>
          <t>Completion CODE = HLS26DHC84</t>
        </is>
      </c>
    </row>
    <row r="7">
      <c r="A7" t="inlineStr">
        <is>
          <t>GD3 basis</t>
        </is>
      </c>
      <c r="B7" t="inlineStr">
        <is>
          <t>HVLS</t>
        </is>
      </c>
      <c r="C7" t="inlineStr">
        <is>
          <t>-</t>
        </is>
      </c>
      <c r="D7" t="inlineStr">
        <is>
          <t>-</t>
        </is>
      </c>
      <c r="E7" t="inlineStr">
        <is>
          <t>Basis is ULB, not BPO; label reads 'of ULB'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2" t="inlineStr">
        <is>
          <t>Plug in what the platform shows; the green cells compute what it SHOULD be.</t>
        </is>
      </c>
    </row>
    <row r="3">
      <c r="A3" s="2" t="inlineStr">
        <is>
          <t>Per-loan derived bid</t>
        </is>
      </c>
    </row>
    <row r="4">
      <c r="A4" t="inlineStr">
        <is>
          <t>BID % (you enter)</t>
        </is>
      </c>
      <c r="B4" t="n">
        <v>55.12345</v>
      </c>
    </row>
    <row r="5">
      <c r="A5" t="inlineStr">
        <is>
          <t>Loan basis $ (you enter, e.g. ULB)</t>
        </is>
      </c>
      <c r="B5" t="n">
        <v>200000</v>
      </c>
    </row>
    <row r="6">
      <c r="A6" t="inlineStr">
        <is>
          <t>Expected BID $ (computed)</t>
        </is>
      </c>
      <c r="B6" s="3">
        <f>B4/100*B5</f>
        <v/>
      </c>
    </row>
    <row r="8">
      <c r="A8" s="2" t="inlineStr">
        <is>
          <t>Deposit on an aggregate bid</t>
        </is>
      </c>
    </row>
    <row r="9">
      <c r="A9" t="inlineStr">
        <is>
          <t>Aggregate bid $ (you enter)</t>
        </is>
      </c>
      <c r="B9" t="n">
        <v>619588</v>
      </c>
    </row>
    <row r="10">
      <c r="A10" t="inlineStr">
        <is>
          <t>Expected deposit (computed)</t>
        </is>
      </c>
      <c r="B10" s="3">
        <f>MAX(100000,CEILING(B9*0.1,1))</f>
        <v/>
      </c>
    </row>
    <row r="11">
      <c r="A11" t="inlineStr">
        <is>
          <t>Note: if the aggregate is below $100,000, the deposit is 50% of it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2026-06-15T17:40:53Z</dcterms:created>
  <dcterms:modified xmlns:dcterms="http://purl.org/dc/terms/" xmlns:xsi="http://www.w3.org/2001/XMLSchema-instance" xsi:type="dcterms:W3CDTF">2026-06-15T17:40:53Z</dcterms:modified>
</cp:coreProperties>
</file>